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Bootcamp_\Santander_Excel com IA\"/>
    </mc:Choice>
  </mc:AlternateContent>
  <xr:revisionPtr revIDLastSave="0" documentId="13_ncr:1_{FDD53E6B-72F8-44CA-81EC-DF725A8AF1CD}" xr6:coauthVersionLast="47" xr6:coauthVersionMax="47" xr10:uidLastSave="{00000000-0000-0000-0000-000000000000}"/>
  <bookViews>
    <workbookView xWindow="-108" yWindow="-108" windowWidth="23256" windowHeight="12456" xr2:uid="{CA35945E-08F8-4465-B47A-E7810ACE9A45}"/>
  </bookViews>
  <sheets>
    <sheet name="Investimentos" sheetId="1" r:id="rId1"/>
    <sheet name="Apoio" sheetId="2" r:id="rId2"/>
  </sheets>
  <definedNames>
    <definedName name="aporte">Investimentos!$D$15</definedName>
    <definedName name="patrimonio">Investimentos!$D$18</definedName>
    <definedName name="qtd_anos">Investimentos!$D$16</definedName>
    <definedName name="rendimento_carteira">Investimentos!$D$11</definedName>
    <definedName name="salario">Investimentos!$D$10</definedName>
    <definedName name="sugestao_investimento">Investimentos!$D$12</definedName>
    <definedName name="taxa_mensal">Investimentos!$D$17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5" i="1" l="1"/>
  <c r="C36" i="1"/>
  <c r="C37" i="1"/>
  <c r="C38" i="1"/>
  <c r="C39" i="1"/>
  <c r="C34" i="1"/>
  <c r="B9" i="2"/>
  <c r="B10" i="2"/>
  <c r="B11" i="2"/>
  <c r="B12" i="2"/>
  <c r="B13" i="2"/>
  <c r="B14" i="2"/>
  <c r="B15" i="2"/>
  <c r="B16" i="2"/>
  <c r="B17" i="2"/>
  <c r="B18" i="2"/>
  <c r="B19" i="2"/>
  <c r="B20" i="2"/>
  <c r="B4" i="2"/>
  <c r="B5" i="2"/>
  <c r="B6" i="2"/>
  <c r="B7" i="2"/>
  <c r="B8" i="2"/>
  <c r="B3" i="2"/>
  <c r="C31" i="1"/>
  <c r="D18" i="1"/>
  <c r="D19" i="1" s="1"/>
  <c r="D12" i="1"/>
  <c r="C24" i="1"/>
  <c r="D24" i="1" s="1"/>
  <c r="C25" i="1"/>
  <c r="D25" i="1" s="1"/>
  <c r="C26" i="1"/>
  <c r="D26" i="1" s="1"/>
  <c r="C27" i="1"/>
  <c r="D27" i="1" s="1"/>
  <c r="C23" i="1"/>
  <c r="D23" i="1" s="1"/>
  <c r="D34" i="1" l="1"/>
  <c r="D39" i="1"/>
  <c r="D38" i="1"/>
  <c r="D37" i="1"/>
  <c r="D36" i="1"/>
  <c r="D35" i="1"/>
  <c r="D40" i="1" l="1"/>
</calcChain>
</file>

<file path=xl/sharedStrings.xml><?xml version="1.0" encoding="utf-8"?>
<sst xmlns="http://schemas.openxmlformats.org/spreadsheetml/2006/main" count="70" uniqueCount="35">
  <si>
    <t>INVESTIMENTO MENSAL</t>
  </si>
  <si>
    <t>Quanto investir por mês?</t>
  </si>
  <si>
    <t>Por quantos anos?</t>
  </si>
  <si>
    <t>Taxa de Rendimento mensal?</t>
  </si>
  <si>
    <t>Patrimônio acumulado?</t>
  </si>
  <si>
    <t>Dividendos mensais?</t>
  </si>
  <si>
    <t>Quanto em 2 anos?</t>
  </si>
  <si>
    <t>Quanto em 5 anos?</t>
  </si>
  <si>
    <t>Quanto em 10 anos?</t>
  </si>
  <si>
    <t>Quanto em 20 anos?</t>
  </si>
  <si>
    <t>Quanto em 30 anos?</t>
  </si>
  <si>
    <t>Acumulado</t>
  </si>
  <si>
    <t>Dividendos</t>
  </si>
  <si>
    <t>Rendimento da Carteira</t>
  </si>
  <si>
    <t>Salário</t>
  </si>
  <si>
    <t>Sugestão de Investimento</t>
  </si>
  <si>
    <t>CONFIGURAÇÕES</t>
  </si>
  <si>
    <t>CENÁRIOS</t>
  </si>
  <si>
    <t>Agressivo</t>
  </si>
  <si>
    <t>Valor investido por mês</t>
  </si>
  <si>
    <t>PERFIL</t>
  </si>
  <si>
    <t>Valores</t>
  </si>
  <si>
    <t>TIPOS DE FII</t>
  </si>
  <si>
    <t>% Sugerido</t>
  </si>
  <si>
    <t>Papel</t>
  </si>
  <si>
    <t>Tijolo</t>
  </si>
  <si>
    <t>Híbridos</t>
  </si>
  <si>
    <t>FOF</t>
  </si>
  <si>
    <t>Desenvolvimento</t>
  </si>
  <si>
    <t>Hotelarias</t>
  </si>
  <si>
    <t>TIPO DE FII</t>
  </si>
  <si>
    <t>Conservador</t>
  </si>
  <si>
    <t>%</t>
  </si>
  <si>
    <t>CHAVE COMPOSTA</t>
  </si>
  <si>
    <t>Moderado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</si>
</sst>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6"/>
      <color theme="0"/>
      <name val="Segoe UI Semibold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1"/>
      <color theme="0"/>
      <name val="Segoe UI"/>
      <family val="2"/>
    </font>
    <font>
      <b/>
      <sz val="14"/>
      <color theme="0"/>
      <name val="Segoe UI Semibold"/>
      <family val="2"/>
    </font>
    <font>
      <sz val="11"/>
      <color rgb="FF9C5700"/>
      <name val="Segoe UI"/>
      <family val="2"/>
    </font>
    <font>
      <sz val="11"/>
      <color theme="0"/>
      <name val="Segoe UI"/>
      <family val="2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4.9989318521683403E-2"/>
        <bgColor indexed="64"/>
      </patternFill>
    </fill>
  </fills>
  <borders count="16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theme="0" tint="-0.14996795556505021"/>
      </right>
      <top style="medium">
        <color auto="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auto="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medium">
        <color auto="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medium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auto="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medium">
        <color auto="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4" borderId="0" applyNumberFormat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0" fillId="0" borderId="2" xfId="0" applyBorder="1"/>
    <xf numFmtId="0" fontId="5" fillId="0" borderId="4" xfId="0" applyFont="1" applyBorder="1"/>
    <xf numFmtId="0" fontId="5" fillId="6" borderId="10" xfId="0" applyFont="1" applyFill="1" applyBorder="1" applyAlignment="1">
      <alignment horizontal="center"/>
    </xf>
    <xf numFmtId="164" fontId="5" fillId="0" borderId="12" xfId="0" applyNumberFormat="1" applyFont="1" applyBorder="1" applyAlignment="1">
      <alignment horizontal="center"/>
    </xf>
    <xf numFmtId="0" fontId="5" fillId="6" borderId="7" xfId="0" applyFont="1" applyFill="1" applyBorder="1" applyAlignment="1">
      <alignment horizontal="center"/>
    </xf>
    <xf numFmtId="8" fontId="6" fillId="6" borderId="9" xfId="0" applyNumberFormat="1" applyFont="1" applyFill="1" applyBorder="1" applyAlignment="1">
      <alignment horizontal="center"/>
    </xf>
    <xf numFmtId="8" fontId="6" fillId="6" borderId="12" xfId="0" applyNumberFormat="1" applyFont="1" applyFill="1" applyBorder="1" applyAlignment="1">
      <alignment horizontal="center"/>
    </xf>
    <xf numFmtId="8" fontId="7" fillId="3" borderId="5" xfId="0" applyNumberFormat="1" applyFont="1" applyFill="1" applyBorder="1" applyAlignment="1">
      <alignment horizontal="center"/>
    </xf>
    <xf numFmtId="8" fontId="7" fillId="3" borderId="6" xfId="0" applyNumberFormat="1" applyFont="1" applyFill="1" applyBorder="1" applyAlignment="1">
      <alignment horizontal="center"/>
    </xf>
    <xf numFmtId="8" fontId="5" fillId="6" borderId="8" xfId="0" applyNumberFormat="1" applyFont="1" applyFill="1" applyBorder="1" applyAlignment="1">
      <alignment horizontal="center"/>
    </xf>
    <xf numFmtId="8" fontId="5" fillId="6" borderId="9" xfId="0" applyNumberFormat="1" applyFont="1" applyFill="1" applyBorder="1" applyAlignment="1">
      <alignment horizontal="center"/>
    </xf>
    <xf numFmtId="8" fontId="5" fillId="6" borderId="11" xfId="0" applyNumberFormat="1" applyFont="1" applyFill="1" applyBorder="1" applyAlignment="1">
      <alignment horizontal="center"/>
    </xf>
    <xf numFmtId="8" fontId="5" fillId="6" borderId="12" xfId="0" applyNumberFormat="1" applyFont="1" applyFill="1" applyBorder="1" applyAlignment="1">
      <alignment horizontal="center"/>
    </xf>
    <xf numFmtId="0" fontId="9" fillId="4" borderId="0" xfId="3" applyFont="1"/>
    <xf numFmtId="0" fontId="9" fillId="4" borderId="0" xfId="3" applyFont="1" applyBorder="1" applyAlignment="1">
      <alignment horizontal="left"/>
    </xf>
    <xf numFmtId="164" fontId="5" fillId="0" borderId="0" xfId="0" applyNumberFormat="1" applyFont="1" applyAlignment="1">
      <alignment horizontal="center"/>
    </xf>
    <xf numFmtId="0" fontId="9" fillId="4" borderId="0" xfId="3" applyFont="1" applyAlignment="1">
      <alignment horizontal="center"/>
    </xf>
    <xf numFmtId="0" fontId="6" fillId="6" borderId="0" xfId="0" applyFont="1" applyFill="1"/>
    <xf numFmtId="0" fontId="5" fillId="6" borderId="0" xfId="0" applyFont="1" applyFill="1"/>
    <xf numFmtId="164" fontId="6" fillId="6" borderId="0" xfId="0" applyNumberFormat="1" applyFont="1" applyFill="1" applyAlignment="1">
      <alignment horizontal="center"/>
    </xf>
    <xf numFmtId="9" fontId="0" fillId="0" borderId="0" xfId="2" applyFont="1"/>
    <xf numFmtId="0" fontId="7" fillId="7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9" fontId="5" fillId="0" borderId="0" xfId="2" applyFont="1" applyAlignment="1">
      <alignment horizontal="center"/>
    </xf>
    <xf numFmtId="0" fontId="10" fillId="7" borderId="0" xfId="0" applyFont="1" applyFill="1"/>
    <xf numFmtId="164" fontId="7" fillId="7" borderId="0" xfId="0" applyNumberFormat="1" applyFont="1" applyFill="1" applyAlignment="1">
      <alignment horizontal="center"/>
    </xf>
    <xf numFmtId="0" fontId="0" fillId="0" borderId="3" xfId="0" applyBorder="1"/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9" fontId="5" fillId="0" borderId="3" xfId="2" applyFont="1" applyBorder="1" applyAlignment="1">
      <alignment horizontal="center"/>
    </xf>
    <xf numFmtId="9" fontId="5" fillId="0" borderId="0" xfId="2" applyFont="1" applyBorder="1" applyAlignment="1">
      <alignment horizontal="center"/>
    </xf>
    <xf numFmtId="9" fontId="5" fillId="0" borderId="2" xfId="2" applyFont="1" applyBorder="1" applyAlignment="1">
      <alignment horizontal="center"/>
    </xf>
    <xf numFmtId="164" fontId="5" fillId="0" borderId="6" xfId="1" applyNumberFormat="1" applyFont="1" applyBorder="1" applyAlignment="1" applyProtection="1">
      <alignment horizontal="center"/>
      <protection locked="0"/>
    </xf>
    <xf numFmtId="10" fontId="5" fillId="0" borderId="15" xfId="0" applyNumberFormat="1" applyFont="1" applyBorder="1" applyAlignment="1" applyProtection="1">
      <alignment horizontal="center"/>
      <protection locked="0"/>
    </xf>
    <xf numFmtId="164" fontId="6" fillId="0" borderId="6" xfId="1" applyNumberFormat="1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10" fontId="6" fillId="0" borderId="9" xfId="0" applyNumberFormat="1" applyFont="1" applyBorder="1" applyAlignment="1" applyProtection="1">
      <alignment horizontal="center" vertical="center"/>
      <protection locked="0"/>
    </xf>
    <xf numFmtId="0" fontId="8" fillId="2" borderId="3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5" fillId="6" borderId="13" xfId="0" applyFont="1" applyFill="1" applyBorder="1" applyAlignment="1">
      <alignment horizontal="center"/>
    </xf>
    <xf numFmtId="0" fontId="5" fillId="6" borderId="14" xfId="0" applyFont="1" applyFill="1" applyBorder="1" applyAlignment="1">
      <alignment horizontal="center"/>
    </xf>
    <xf numFmtId="0" fontId="5" fillId="6" borderId="10" xfId="0" applyFont="1" applyFill="1" applyBorder="1" applyAlignment="1">
      <alignment horizontal="center"/>
    </xf>
    <xf numFmtId="0" fontId="5" fillId="6" borderId="1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6" borderId="10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11" fillId="8" borderId="1" xfId="0" applyFont="1" applyFill="1" applyBorder="1" applyAlignment="1">
      <alignment horizont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3C5C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5B4-4B4F-AA38-88AAAADC7CB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1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Investimentos!$B$34:$B$39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Investimentos!$C$34:$C$39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B4-4B4F-AA38-88AAAADC7CB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539134531260533"/>
          <c:y val="0.20080854476523768"/>
          <c:w val="0.22178814186688203"/>
          <c:h val="0.579864391951006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schemeClr val="tx1">
          <a:lumMod val="75000"/>
          <a:lumOff val="25000"/>
          <a:alpha val="40000"/>
        </a:scheme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205740</xdr:colOff>
      <xdr:row>0</xdr:row>
      <xdr:rowOff>99060</xdr:rowOff>
    </xdr:from>
    <xdr:to>
      <xdr:col>4</xdr:col>
      <xdr:colOff>99060</xdr:colOff>
      <xdr:row>6</xdr:row>
      <xdr:rowOff>205740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C9AC5DD-F12B-2E38-57E1-45695DF49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0" y="99060"/>
          <a:ext cx="6080760" cy="1386840"/>
        </a:xfrm>
        <a:prstGeom prst="rect">
          <a:avLst/>
        </a:prstGeom>
      </xdr:spPr>
    </xdr:pic>
    <xdr:clientData/>
  </xdr:twoCellAnchor>
  <xdr:twoCellAnchor>
    <xdr:from>
      <xdr:col>1</xdr:col>
      <xdr:colOff>7620</xdr:colOff>
      <xdr:row>40</xdr:row>
      <xdr:rowOff>163830</xdr:rowOff>
    </xdr:from>
    <xdr:to>
      <xdr:col>4</xdr:col>
      <xdr:colOff>15240</xdr:colOff>
      <xdr:row>55</xdr:row>
      <xdr:rowOff>163830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7BB925B-B00C-2498-6471-C78692F87F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1AED1-37E9-4566-8150-93D4346323FA}">
  <dimension ref="A1:XFD65"/>
  <sheetViews>
    <sheetView showGridLines="0" tabSelected="1" topLeftCell="A37" zoomScaleNormal="100" workbookViewId="0">
      <selection activeCell="D19" sqref="D19"/>
    </sheetView>
  </sheetViews>
  <sheetFormatPr defaultColWidth="0" defaultRowHeight="14.4" x14ac:dyDescent="0.3"/>
  <cols>
    <col min="1" max="1" width="3.6640625" customWidth="1"/>
    <col min="2" max="2" width="51.44140625" customWidth="1"/>
    <col min="3" max="4" width="17.5546875" customWidth="1"/>
    <col min="5" max="5" width="3.6640625" customWidth="1"/>
    <col min="6" max="8" width="1.5546875" hidden="1" customWidth="1"/>
    <col min="9" max="11" width="8.88671875" hidden="1" customWidth="1"/>
    <col min="12" max="16383" width="8.88671875" hidden="1"/>
    <col min="16384" max="16384" width="0.33203125" customWidth="1"/>
  </cols>
  <sheetData>
    <row r="1" spans="2:4" ht="16.8" customHeight="1" x14ac:dyDescent="0.3"/>
    <row r="2" spans="2:4" ht="16.8" customHeight="1" x14ac:dyDescent="0.3"/>
    <row r="3" spans="2:4" ht="16.8" customHeight="1" x14ac:dyDescent="0.3"/>
    <row r="4" spans="2:4" ht="16.8" customHeight="1" x14ac:dyDescent="0.3"/>
    <row r="5" spans="2:4" ht="16.8" customHeight="1" x14ac:dyDescent="0.3"/>
    <row r="6" spans="2:4" ht="16.8" customHeight="1" x14ac:dyDescent="0.3"/>
    <row r="7" spans="2:4" ht="16.8" customHeight="1" x14ac:dyDescent="0.3"/>
    <row r="8" spans="2:4" ht="15" thickBot="1" x14ac:dyDescent="0.35"/>
    <row r="9" spans="2:4" ht="21" thickBot="1" x14ac:dyDescent="0.35">
      <c r="B9" s="40" t="s">
        <v>16</v>
      </c>
      <c r="C9" s="40"/>
      <c r="D9" s="40"/>
    </row>
    <row r="10" spans="2:4" ht="16.8" x14ac:dyDescent="0.4">
      <c r="B10" s="41" t="s">
        <v>14</v>
      </c>
      <c r="C10" s="42"/>
      <c r="D10" s="34">
        <v>2000</v>
      </c>
    </row>
    <row r="11" spans="2:4" ht="16.8" x14ac:dyDescent="0.4">
      <c r="B11" s="43" t="s">
        <v>13</v>
      </c>
      <c r="C11" s="44"/>
      <c r="D11" s="35">
        <v>6.0000000000000001E-3</v>
      </c>
    </row>
    <row r="12" spans="2:4" ht="17.399999999999999" thickBot="1" x14ac:dyDescent="0.45">
      <c r="B12" s="45" t="s">
        <v>15</v>
      </c>
      <c r="C12" s="46"/>
      <c r="D12" s="5">
        <f>D10*30%</f>
        <v>600</v>
      </c>
    </row>
    <row r="13" spans="2:4" ht="15" thickBot="1" x14ac:dyDescent="0.35"/>
    <row r="14" spans="2:4" ht="33.6" customHeight="1" thickBot="1" x14ac:dyDescent="0.35">
      <c r="B14" s="47" t="s">
        <v>0</v>
      </c>
      <c r="C14" s="47"/>
      <c r="D14" s="47"/>
    </row>
    <row r="15" spans="2:4" ht="16.8" x14ac:dyDescent="0.4">
      <c r="B15" s="41" t="s">
        <v>1</v>
      </c>
      <c r="C15" s="42"/>
      <c r="D15" s="36">
        <v>200</v>
      </c>
    </row>
    <row r="16" spans="2:4" ht="16.8" x14ac:dyDescent="0.4">
      <c r="B16" s="48" t="s">
        <v>2</v>
      </c>
      <c r="C16" s="49"/>
      <c r="D16" s="37">
        <v>10</v>
      </c>
    </row>
    <row r="17" spans="1:4" ht="16.8" x14ac:dyDescent="0.4">
      <c r="B17" s="48" t="s">
        <v>3</v>
      </c>
      <c r="C17" s="49"/>
      <c r="D17" s="38">
        <v>1.0789999999999999E-2</v>
      </c>
    </row>
    <row r="18" spans="1:4" ht="16.8" x14ac:dyDescent="0.4">
      <c r="B18" s="50" t="s">
        <v>4</v>
      </c>
      <c r="C18" s="51"/>
      <c r="D18" s="7">
        <f>FV(taxa_mensal,qtd_anos*12,-aporte)</f>
        <v>48656.842506034438</v>
      </c>
    </row>
    <row r="19" spans="1:4" ht="17.399999999999999" thickBot="1" x14ac:dyDescent="0.45">
      <c r="B19" s="52" t="s">
        <v>5</v>
      </c>
      <c r="C19" s="53"/>
      <c r="D19" s="8">
        <f>patrimonio*rendimento_carteira</f>
        <v>291.94105503620665</v>
      </c>
    </row>
    <row r="20" spans="1:4" ht="15" thickBot="1" x14ac:dyDescent="0.35"/>
    <row r="21" spans="1:4" ht="21" thickBot="1" x14ac:dyDescent="0.35">
      <c r="B21" s="39" t="s">
        <v>17</v>
      </c>
      <c r="C21" s="39"/>
      <c r="D21" s="39"/>
    </row>
    <row r="22" spans="1:4" ht="16.8" x14ac:dyDescent="0.4">
      <c r="A22" s="1"/>
      <c r="B22" s="3"/>
      <c r="C22" s="9" t="s">
        <v>11</v>
      </c>
      <c r="D22" s="10" t="s">
        <v>12</v>
      </c>
    </row>
    <row r="23" spans="1:4" ht="16.8" x14ac:dyDescent="0.4">
      <c r="A23" s="1">
        <v>2</v>
      </c>
      <c r="B23" s="6" t="s">
        <v>6</v>
      </c>
      <c r="C23" s="11">
        <f>FV($D$17,$A23*12,-$D$15)</f>
        <v>5445.5254595290435</v>
      </c>
      <c r="D23" s="12">
        <f>C23*rendimento_carteira</f>
        <v>32.673152757174265</v>
      </c>
    </row>
    <row r="24" spans="1:4" ht="16.8" x14ac:dyDescent="0.4">
      <c r="A24" s="1">
        <v>5</v>
      </c>
      <c r="B24" s="6" t="s">
        <v>7</v>
      </c>
      <c r="C24" s="11">
        <f>FV($D$17,$A24*12,-$D$15)</f>
        <v>16755.382799697527</v>
      </c>
      <c r="D24" s="12">
        <f>C24*rendimento_carteira</f>
        <v>100.53229679818516</v>
      </c>
    </row>
    <row r="25" spans="1:4" ht="16.8" x14ac:dyDescent="0.4">
      <c r="A25" s="1">
        <v>10</v>
      </c>
      <c r="B25" s="6" t="s">
        <v>8</v>
      </c>
      <c r="C25" s="11">
        <f>FV($D$17,$A25*12,-$D$15)</f>
        <v>48656.842506034438</v>
      </c>
      <c r="D25" s="12">
        <f>C25*rendimento_carteira</f>
        <v>291.94105503620665</v>
      </c>
    </row>
    <row r="26" spans="1:4" ht="16.8" x14ac:dyDescent="0.4">
      <c r="A26" s="1">
        <v>20</v>
      </c>
      <c r="B26" s="6" t="s">
        <v>9</v>
      </c>
      <c r="C26" s="11">
        <f>FV($D$17,$A26*12,-$D$15)</f>
        <v>225039.68001941612</v>
      </c>
      <c r="D26" s="12">
        <f>C26*rendimento_carteira</f>
        <v>1350.2380801164968</v>
      </c>
    </row>
    <row r="27" spans="1:4" ht="17.399999999999999" thickBot="1" x14ac:dyDescent="0.45">
      <c r="A27" s="1">
        <v>30</v>
      </c>
      <c r="B27" s="4" t="s">
        <v>10</v>
      </c>
      <c r="C27" s="13">
        <f>FV($D$17,$A27*12,-$D$15)</f>
        <v>864433.93100094295</v>
      </c>
      <c r="D27" s="14">
        <f>C27*rendimento_carteira</f>
        <v>5186.6035860056581</v>
      </c>
    </row>
    <row r="30" spans="1:4" ht="16.8" x14ac:dyDescent="0.4">
      <c r="B30" s="16" t="s">
        <v>20</v>
      </c>
      <c r="C30" s="18" t="s">
        <v>31</v>
      </c>
      <c r="D30" s="15"/>
    </row>
    <row r="31" spans="1:4" ht="16.8" x14ac:dyDescent="0.4">
      <c r="B31" s="19" t="s">
        <v>19</v>
      </c>
      <c r="C31" s="21">
        <f>aporte</f>
        <v>200</v>
      </c>
      <c r="D31" s="20"/>
    </row>
    <row r="33" spans="2:4" ht="16.8" x14ac:dyDescent="0.4">
      <c r="B33" s="23" t="s">
        <v>22</v>
      </c>
      <c r="C33" s="23" t="s">
        <v>23</v>
      </c>
      <c r="D33" s="23" t="s">
        <v>21</v>
      </c>
    </row>
    <row r="34" spans="2:4" ht="16.8" x14ac:dyDescent="0.4">
      <c r="B34" s="24" t="s">
        <v>24</v>
      </c>
      <c r="C34" s="25">
        <f>VLOOKUP($C$30&amp;"-"&amp;B34,Apoio!$B:$E,4,FALSE)</f>
        <v>0.3</v>
      </c>
      <c r="D34" s="17">
        <f>C34*$C$31</f>
        <v>60</v>
      </c>
    </row>
    <row r="35" spans="2:4" ht="16.8" x14ac:dyDescent="0.4">
      <c r="B35" s="24" t="s">
        <v>25</v>
      </c>
      <c r="C35" s="25">
        <f>VLOOKUP($C$30&amp;"-"&amp;B35,Apoio!$B:$E,4,FALSE)</f>
        <v>0.5</v>
      </c>
      <c r="D35" s="17">
        <f t="shared" ref="D35:D39" si="0">C35*$C$31</f>
        <v>100</v>
      </c>
    </row>
    <row r="36" spans="2:4" ht="16.8" x14ac:dyDescent="0.4">
      <c r="B36" s="24" t="s">
        <v>26</v>
      </c>
      <c r="C36" s="25">
        <f>VLOOKUP($C$30&amp;"-"&amp;B36,Apoio!$B:$E,4,FALSE)</f>
        <v>0.1</v>
      </c>
      <c r="D36" s="17">
        <f t="shared" si="0"/>
        <v>20</v>
      </c>
    </row>
    <row r="37" spans="2:4" ht="16.8" x14ac:dyDescent="0.4">
      <c r="B37" s="24" t="s">
        <v>27</v>
      </c>
      <c r="C37" s="25">
        <f>VLOOKUP($C$30&amp;"-"&amp;B37,Apoio!$B:$E,4,FALSE)</f>
        <v>0.1</v>
      </c>
      <c r="D37" s="17">
        <f t="shared" si="0"/>
        <v>20</v>
      </c>
    </row>
    <row r="38" spans="2:4" ht="16.8" x14ac:dyDescent="0.4">
      <c r="B38" s="24" t="s">
        <v>28</v>
      </c>
      <c r="C38" s="25">
        <f>VLOOKUP($C$30&amp;"-"&amp;B38,Apoio!$B:$E,4,FALSE)</f>
        <v>0</v>
      </c>
      <c r="D38" s="17">
        <f t="shared" si="0"/>
        <v>0</v>
      </c>
    </row>
    <row r="39" spans="2:4" ht="16.8" x14ac:dyDescent="0.4">
      <c r="B39" s="24" t="s">
        <v>29</v>
      </c>
      <c r="C39" s="25">
        <f>VLOOKUP($C$30&amp;"-"&amp;B39,Apoio!$B:$E,4,FALSE)</f>
        <v>0</v>
      </c>
      <c r="D39" s="17">
        <f t="shared" si="0"/>
        <v>0</v>
      </c>
    </row>
    <row r="40" spans="2:4" ht="16.8" x14ac:dyDescent="0.4">
      <c r="B40" s="26"/>
      <c r="C40" s="26"/>
      <c r="D40" s="27">
        <f>SUM(D34:D39)</f>
        <v>200</v>
      </c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</sheetData>
  <mergeCells count="11">
    <mergeCell ref="B21:D21"/>
    <mergeCell ref="B9:D9"/>
    <mergeCell ref="B10:C10"/>
    <mergeCell ref="B11:C11"/>
    <mergeCell ref="B12:C12"/>
    <mergeCell ref="B14:D14"/>
    <mergeCell ref="B15:C15"/>
    <mergeCell ref="B16:C16"/>
    <mergeCell ref="B17:C17"/>
    <mergeCell ref="B18:C18"/>
    <mergeCell ref="B19:C19"/>
  </mergeCells>
  <dataValidations count="1">
    <dataValidation type="list" allowBlank="1" showInputMessage="1" showErrorMessage="1" sqref="C30" xr:uid="{8E00A523-A7C3-4AE1-8380-D2AED506A471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965D3-4967-493A-AA92-2CCA67354893}">
  <dimension ref="B1:I20"/>
  <sheetViews>
    <sheetView showGridLines="0" workbookViewId="0">
      <selection activeCell="H14" sqref="H14"/>
    </sheetView>
  </sheetViews>
  <sheetFormatPr defaultRowHeight="14.4" x14ac:dyDescent="0.3"/>
  <cols>
    <col min="2" max="2" width="26.5546875" bestFit="1" customWidth="1"/>
    <col min="3" max="4" width="16.44140625" bestFit="1" customWidth="1"/>
    <col min="8" max="8" width="14.88671875" bestFit="1" customWidth="1"/>
  </cols>
  <sheetData>
    <row r="1" spans="2:9" ht="15" thickBot="1" x14ac:dyDescent="0.35"/>
    <row r="2" spans="2:9" ht="15" thickBot="1" x14ac:dyDescent="0.35">
      <c r="B2" s="54" t="s">
        <v>33</v>
      </c>
      <c r="C2" s="54" t="s">
        <v>20</v>
      </c>
      <c r="D2" s="54" t="s">
        <v>30</v>
      </c>
      <c r="E2" s="54" t="s">
        <v>32</v>
      </c>
    </row>
    <row r="3" spans="2:9" ht="16.8" x14ac:dyDescent="0.4">
      <c r="B3" t="str">
        <f>C3&amp;"-"&amp;D3</f>
        <v>Conservador-Papel</v>
      </c>
      <c r="C3" t="s">
        <v>31</v>
      </c>
      <c r="D3" s="24" t="s">
        <v>24</v>
      </c>
      <c r="E3" s="25">
        <v>0.3</v>
      </c>
    </row>
    <row r="4" spans="2:9" ht="16.8" x14ac:dyDescent="0.4">
      <c r="B4" t="str">
        <f t="shared" ref="B4:B20" si="0">C4&amp;"-"&amp;D4</f>
        <v>Conservador-Tijolo</v>
      </c>
      <c r="C4" t="s">
        <v>31</v>
      </c>
      <c r="D4" s="24" t="s">
        <v>25</v>
      </c>
      <c r="E4" s="25">
        <v>0.5</v>
      </c>
    </row>
    <row r="5" spans="2:9" ht="16.8" x14ac:dyDescent="0.4">
      <c r="B5" t="str">
        <f t="shared" si="0"/>
        <v>Conservador-Híbridos</v>
      </c>
      <c r="C5" t="s">
        <v>31</v>
      </c>
      <c r="D5" s="24" t="s">
        <v>26</v>
      </c>
      <c r="E5" s="25">
        <v>0.1</v>
      </c>
    </row>
    <row r="6" spans="2:9" ht="16.8" x14ac:dyDescent="0.4">
      <c r="B6" t="str">
        <f t="shared" si="0"/>
        <v>Conservador-FOF</v>
      </c>
      <c r="C6" t="s">
        <v>31</v>
      </c>
      <c r="D6" s="24" t="s">
        <v>27</v>
      </c>
      <c r="E6" s="25">
        <v>0.1</v>
      </c>
    </row>
    <row r="7" spans="2:9" ht="16.8" x14ac:dyDescent="0.4">
      <c r="B7" t="str">
        <f t="shared" si="0"/>
        <v>Conservador-Desenvolvimento</v>
      </c>
      <c r="C7" t="s">
        <v>31</v>
      </c>
      <c r="D7" s="24" t="s">
        <v>28</v>
      </c>
      <c r="E7" s="25">
        <v>0</v>
      </c>
    </row>
    <row r="8" spans="2:9" ht="17.399999999999999" thickBot="1" x14ac:dyDescent="0.45">
      <c r="B8" t="str">
        <f t="shared" si="0"/>
        <v>Conservador-Hotelarias</v>
      </c>
      <c r="C8" t="s">
        <v>31</v>
      </c>
      <c r="D8" s="24" t="s">
        <v>29</v>
      </c>
      <c r="E8" s="25">
        <v>0</v>
      </c>
    </row>
    <row r="9" spans="2:9" ht="16.8" x14ac:dyDescent="0.4">
      <c r="B9" s="28" t="str">
        <f t="shared" si="0"/>
        <v>Moderado-Papel</v>
      </c>
      <c r="C9" s="28" t="s">
        <v>34</v>
      </c>
      <c r="D9" s="29" t="s">
        <v>24</v>
      </c>
      <c r="E9" s="31">
        <v>0.32</v>
      </c>
      <c r="I9" s="22"/>
    </row>
    <row r="10" spans="2:9" ht="16.8" x14ac:dyDescent="0.4">
      <c r="B10" t="str">
        <f t="shared" si="0"/>
        <v>Moderado-Tijolo</v>
      </c>
      <c r="C10" t="s">
        <v>34</v>
      </c>
      <c r="D10" s="24" t="s">
        <v>25</v>
      </c>
      <c r="E10" s="32">
        <v>0.35</v>
      </c>
    </row>
    <row r="11" spans="2:9" ht="16.8" x14ac:dyDescent="0.4">
      <c r="B11" t="str">
        <f t="shared" si="0"/>
        <v>Moderado-Híbridos</v>
      </c>
      <c r="C11" t="s">
        <v>34</v>
      </c>
      <c r="D11" s="24" t="s">
        <v>26</v>
      </c>
      <c r="E11" s="32">
        <v>0.08</v>
      </c>
    </row>
    <row r="12" spans="2:9" ht="16.8" x14ac:dyDescent="0.4">
      <c r="B12" t="str">
        <f t="shared" si="0"/>
        <v>Moderado-FOF</v>
      </c>
      <c r="C12" t="s">
        <v>34</v>
      </c>
      <c r="D12" s="24" t="s">
        <v>27</v>
      </c>
      <c r="E12" s="32">
        <v>0.05</v>
      </c>
    </row>
    <row r="13" spans="2:9" ht="16.8" x14ac:dyDescent="0.4">
      <c r="B13" t="str">
        <f t="shared" si="0"/>
        <v>Moderado-Desenvolvimento</v>
      </c>
      <c r="C13" t="s">
        <v>34</v>
      </c>
      <c r="D13" s="24" t="s">
        <v>28</v>
      </c>
      <c r="E13" s="32">
        <v>0.1</v>
      </c>
    </row>
    <row r="14" spans="2:9" ht="17.399999999999999" thickBot="1" x14ac:dyDescent="0.45">
      <c r="B14" s="2" t="str">
        <f t="shared" si="0"/>
        <v>Moderado-Hotelarias</v>
      </c>
      <c r="C14" s="2" t="s">
        <v>34</v>
      </c>
      <c r="D14" s="30" t="s">
        <v>29</v>
      </c>
      <c r="E14" s="33">
        <v>0.1</v>
      </c>
    </row>
    <row r="15" spans="2:9" ht="16.8" x14ac:dyDescent="0.4">
      <c r="B15" t="str">
        <f t="shared" si="0"/>
        <v>Agressivo-Papel</v>
      </c>
      <c r="C15" t="s">
        <v>18</v>
      </c>
      <c r="D15" s="24" t="s">
        <v>24</v>
      </c>
      <c r="E15" s="25">
        <v>0.5</v>
      </c>
    </row>
    <row r="16" spans="2:9" ht="16.8" x14ac:dyDescent="0.4">
      <c r="B16" t="str">
        <f t="shared" si="0"/>
        <v>Agressivo-Tijolo</v>
      </c>
      <c r="C16" t="s">
        <v>18</v>
      </c>
      <c r="D16" s="24" t="s">
        <v>25</v>
      </c>
      <c r="E16" s="25">
        <v>0.1</v>
      </c>
    </row>
    <row r="17" spans="2:5" ht="16.8" x14ac:dyDescent="0.4">
      <c r="B17" t="str">
        <f t="shared" si="0"/>
        <v>Agressivo-Híbridos</v>
      </c>
      <c r="C17" t="s">
        <v>18</v>
      </c>
      <c r="D17" s="24" t="s">
        <v>26</v>
      </c>
      <c r="E17" s="25">
        <v>0.05</v>
      </c>
    </row>
    <row r="18" spans="2:5" ht="16.8" x14ac:dyDescent="0.4">
      <c r="B18" t="str">
        <f t="shared" si="0"/>
        <v>Agressivo-FOF</v>
      </c>
      <c r="C18" t="s">
        <v>18</v>
      </c>
      <c r="D18" s="24" t="s">
        <v>27</v>
      </c>
      <c r="E18" s="25">
        <v>0.05</v>
      </c>
    </row>
    <row r="19" spans="2:5" ht="16.8" x14ac:dyDescent="0.4">
      <c r="B19" t="str">
        <f t="shared" si="0"/>
        <v>Agressivo-Desenvolvimento</v>
      </c>
      <c r="C19" t="s">
        <v>18</v>
      </c>
      <c r="D19" s="24" t="s">
        <v>28</v>
      </c>
      <c r="E19" s="25">
        <v>0.2</v>
      </c>
    </row>
    <row r="20" spans="2:5" ht="17.399999999999999" thickBot="1" x14ac:dyDescent="0.45">
      <c r="B20" s="2" t="str">
        <f t="shared" si="0"/>
        <v>Agressivo-Hotelarias</v>
      </c>
      <c r="C20" s="2" t="s">
        <v>18</v>
      </c>
      <c r="D20" s="30" t="s">
        <v>29</v>
      </c>
      <c r="E20" s="33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Investimentos</vt:lpstr>
      <vt:lpstr>Apoio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Rosângela Pedrosa</dc:creator>
  <cp:lastModifiedBy>Rosângela Pedrosa</cp:lastModifiedBy>
  <dcterms:created xsi:type="dcterms:W3CDTF">2025-12-29T14:27:26Z</dcterms:created>
  <dcterms:modified xsi:type="dcterms:W3CDTF">2026-01-05T20:57:59Z</dcterms:modified>
</cp:coreProperties>
</file>